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D\Proyecto CUBESAT\"/>
    </mc:Choice>
  </mc:AlternateContent>
  <bookViews>
    <workbookView xWindow="0" yWindow="0" windowWidth="28800" windowHeight="12180" tabRatio="500"/>
  </bookViews>
  <sheets>
    <sheet name="RESUMEN" sheetId="1" r:id="rId1"/>
    <sheet name="R0" sheetId="2" r:id="rId2"/>
    <sheet name="R1" sheetId="3" r:id="rId3"/>
    <sheet name="R2" sheetId="4" r:id="rId4"/>
    <sheet name="R3" sheetId="5" r:id="rId5"/>
    <sheet name="R4" sheetId="6" r:id="rId6"/>
    <sheet name="R5" sheetId="7" r:id="rId7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0" i="7" l="1"/>
  <c r="E10" i="1" s="1"/>
  <c r="D10" i="7"/>
  <c r="Q16" i="6"/>
  <c r="E9" i="1" s="1"/>
  <c r="D16" i="6"/>
  <c r="Q14" i="5"/>
  <c r="E8" i="1" s="1"/>
  <c r="D14" i="5"/>
  <c r="Q22" i="4"/>
  <c r="E7" i="1" s="1"/>
  <c r="D22" i="4"/>
  <c r="D7" i="1" s="1"/>
  <c r="D10" i="3"/>
  <c r="D6" i="1" s="1"/>
  <c r="Q7" i="2"/>
  <c r="E5" i="1" s="1"/>
  <c r="D7" i="2"/>
  <c r="D5" i="1" s="1"/>
  <c r="D10" i="1"/>
  <c r="D9" i="1"/>
  <c r="D8" i="1"/>
  <c r="Q10" i="3" l="1"/>
  <c r="E6" i="1" s="1"/>
</calcChain>
</file>

<file path=xl/sharedStrings.xml><?xml version="1.0" encoding="utf-8"?>
<sst xmlns="http://schemas.openxmlformats.org/spreadsheetml/2006/main" count="229" uniqueCount="121">
  <si>
    <t>ADF4351 PLL — TABLA DE REGISTROS INTERACTIVA</t>
  </si>
  <si>
    <t>Modificar los bits en cada hoja R0–R5. El valor hexadecimal final se actualiza automáticamente.</t>
  </si>
  <si>
    <t>Reg</t>
  </si>
  <si>
    <t>Control
Bits</t>
  </si>
  <si>
    <t>Bits
Editables</t>
  </si>
  <si>
    <t>Valor
Decimal</t>
  </si>
  <si>
    <t>Hexadecimal</t>
  </si>
  <si>
    <t>Campos principales</t>
  </si>
  <si>
    <t>Hoja</t>
  </si>
  <si>
    <t>INT[15:0], FRAC[11:0]</t>
  </si>
  <si>
    <t>R0</t>
  </si>
  <si>
    <t>Phase Adj, Prescaler, PHASE[11:0], MOD[11:0]</t>
  </si>
  <si>
    <t>R1</t>
  </si>
  <si>
    <t>Noise Mode, MuxOut[2:0], REF Doubler, RDIV2, R Counter[9:0], CP 3-State, Anti-Backlash, Charge Cancel, SD Reset, LDF, LDP, PD Polarity, Power Down, Counter Reset</t>
  </si>
  <si>
    <t>R2</t>
  </si>
  <si>
    <t>Band Sel Clk Mode, ABP, Charge Cancel, CSR Enable, CLK DIV Mode[1:0], CLK DIV[11:0]</t>
  </si>
  <si>
    <t>R3</t>
  </si>
  <si>
    <t>Feedback Select, RF Div Select[2:0], Band Sel Div[7:0], VCO Power Down, MTLD, Aux Output En, Aux Output Sel, Aux Output Pwr[1:0], RF Output Enable, Output Power[1:0]</t>
  </si>
  <si>
    <t>R4</t>
  </si>
  <si>
    <t>LD Pin Mode[1:0]</t>
  </si>
  <si>
    <t>R5</t>
  </si>
  <si>
    <t>INSTRUCCIONES: Ir a cada hoja R0–R5 → cambiar los bits AZULES (solo 0 o 1) → el HEX de esta tabla y de la hoja se actualiza solo.  Bits GRISES son fijos (dirección de registro).</t>
  </si>
  <si>
    <t>ADF4351  ▸  Reg 0 — N Divider   (editar bits azules → hex se actualiza automáticamente)</t>
  </si>
  <si>
    <t>Campo  /  Bits</t>
  </si>
  <si>
    <t>Nombre del campo</t>
  </si>
  <si>
    <t>Descripción (valores válidos)</t>
  </si>
  <si>
    <t>INT[15:0]</t>
  </si>
  <si>
    <t>Integer part of N divider (23–65535 with P=4/5)</t>
  </si>
  <si>
    <t>FRAC[11:0]</t>
  </si>
  <si>
    <t>Fractional part: F_out=(INT+FRAC/MOD)×fPD/DIV</t>
  </si>
  <si>
    <t>CTRL[2:0]</t>
  </si>
  <si>
    <t>Register address = 000 (fixed)</t>
  </si>
  <si>
    <t>▶  VALOR DECIMAL</t>
  </si>
  <si>
    <t xml:space="preserve">  🔵 Azul = bit editable (0 o 1)      ⬜ Gris = fijo (no modificar)      ↺ El valor HEX se recalcula automáticamente al cambiar cualquier bit azul</t>
  </si>
  <si>
    <t>ADF4351  ▸  Reg 1 — MOD/PHASE   (editar bits azules → hex se actualiza automáticamente)</t>
  </si>
  <si>
    <t>Reserved</t>
  </si>
  <si>
    <t>Write 0</t>
  </si>
  <si>
    <t>Phase Adj</t>
  </si>
  <si>
    <t>0=OFF, 1=ON (phase adjust on freq change)</t>
  </si>
  <si>
    <t>Prescaler</t>
  </si>
  <si>
    <t>0=8/9 (INT≥75), 1=4/5 (INT≥23, f&lt;3GHz)</t>
  </si>
  <si>
    <t>PHASE[11:0]</t>
  </si>
  <si>
    <t>Phase word (1 = default/recommended)</t>
  </si>
  <si>
    <t>MOD[11:0]</t>
  </si>
  <si>
    <t>Modulus 2–4095. fRES = fPD / MOD</t>
  </si>
  <si>
    <t>Register address = 001 (fixed)</t>
  </si>
  <si>
    <t>ADF4351  ▸  Reg 2 — Charge Pump &amp; Noise   (editar bits azules → hex se actualiza automáticamente)</t>
  </si>
  <si>
    <t>Noise Mode</t>
  </si>
  <si>
    <t>00=Low Noise, 11=Low Spur (Dither ON)</t>
  </si>
  <si>
    <t>MuxOut[2:0]</t>
  </si>
  <si>
    <t>000=3-state,001=DVdd,010=GND,011=R-div,100=N-div,101=Analog LD,110=Digital LD</t>
  </si>
  <si>
    <t>REF Doubler</t>
  </si>
  <si>
    <t>0=OFF, 1=fREF×2</t>
  </si>
  <si>
    <t>RDIV2</t>
  </si>
  <si>
    <t>0=OFF, 1=fREF÷2 before R counter</t>
  </si>
  <si>
    <t>R Counter[9:0]</t>
  </si>
  <si>
    <t>Reference divider R (1–1023). fPD=fREF/R</t>
  </si>
  <si>
    <t>CP 3-State</t>
  </si>
  <si>
    <t>0=Normal, 1=CP high-Z (loop open)</t>
  </si>
  <si>
    <t>Anti-Backlash</t>
  </si>
  <si>
    <t>0=6ns (Frac-N), 1=3ns (Int-N)</t>
  </si>
  <si>
    <t>Charge Cancel</t>
  </si>
  <si>
    <t>0=OFF, 1=ON (Int-N only)</t>
  </si>
  <si>
    <t>Write 00</t>
  </si>
  <si>
    <t>SD Reset</t>
  </si>
  <si>
    <t>0=Normal, 1=Σ-Δ reset (disables Frac-N)</t>
  </si>
  <si>
    <t>LDF</t>
  </si>
  <si>
    <t>0=Frac-N lock detect, 1=Int-N</t>
  </si>
  <si>
    <t>LDP</t>
  </si>
  <si>
    <t>0=10ns, 1=6ns lock detect precision</t>
  </si>
  <si>
    <t>PD Polarity</t>
  </si>
  <si>
    <t>0=Negative, 1=Positive (use 1 with ADF4351)</t>
  </si>
  <si>
    <t>Power Down</t>
  </si>
  <si>
    <t>0=Normal, 1=Power down (~7µA)</t>
  </si>
  <si>
    <t>CP 3-State b3</t>
  </si>
  <si>
    <t>0=Normal (write 0)</t>
  </si>
  <si>
    <t>Counter Reset</t>
  </si>
  <si>
    <t>0=Normal, 1=Reset R &amp; N counters</t>
  </si>
  <si>
    <t>CTRL[1:0]</t>
  </si>
  <si>
    <t>Register address = 10 (fixed)</t>
  </si>
  <si>
    <t>ADF4351  ▸  Reg 3 — Clock Divider   (editar bits azules → hex se actualiza automáticamente)</t>
  </si>
  <si>
    <t>Band Sel Clk Mode</t>
  </si>
  <si>
    <t>0=Low (fPD≤125kHz), 1=High</t>
  </si>
  <si>
    <t>ABP</t>
  </si>
  <si>
    <t>0=6ns Frac-N, 1=3ns Int-N</t>
  </si>
  <si>
    <t>0=OFF, 1=ON</t>
  </si>
  <si>
    <t>CSR Enable</t>
  </si>
  <si>
    <t>0=OFF, 1=Cycle Slip Reduction ON</t>
  </si>
  <si>
    <t>CLK DIV Mode[1:0]</t>
  </si>
  <si>
    <t>00=OFF, 01=Fast Lock, 10=Phase Resync</t>
  </si>
  <si>
    <t>CLK DIV[11:0]</t>
  </si>
  <si>
    <t>Clock divider value (Fast Lock / Phase Resync)</t>
  </si>
  <si>
    <t>Register address = 011 (fixed)</t>
  </si>
  <si>
    <t>ADF4351  ▸  Reg 4 — RF Output   (editar bits azules → hex se actualiza automáticamente)</t>
  </si>
  <si>
    <t>Feedback Select</t>
  </si>
  <si>
    <t>0=Divided, 1=Fundamental (recommended)</t>
  </si>
  <si>
    <t>RF Div Select[2:0]</t>
  </si>
  <si>
    <t>000=÷1, 001=÷2, 010=÷4, 011=÷8, 100=÷16, 101=÷32, 110=÷64</t>
  </si>
  <si>
    <t>Band Sel Div[7:0]</t>
  </si>
  <si>
    <t>Band select clock divider. fband=fPD/Div ≤125kHz</t>
  </si>
  <si>
    <t>VCO Power Down</t>
  </si>
  <si>
    <t>0=VCO ON, 1=VCO Power Down</t>
  </si>
  <si>
    <t>MTLD</t>
  </si>
  <si>
    <t>0=Always ON, 1=Mute Till Lock Detect</t>
  </si>
  <si>
    <t>Aux Output En</t>
  </si>
  <si>
    <t>0=Disable RF OutB, 1=Enable</t>
  </si>
  <si>
    <t>Aux Output Sel</t>
  </si>
  <si>
    <t>0=Divided output, 1=Fundamental</t>
  </si>
  <si>
    <t>Aux Output Pwr[1:0]</t>
  </si>
  <si>
    <t>00=−4dBm, 01=−1dBm, 10=+2dBm, 11=+5dBm</t>
  </si>
  <si>
    <t>RF Output Enable</t>
  </si>
  <si>
    <t>0=RF OutA OFF, 1=RF OutA ON</t>
  </si>
  <si>
    <t>Output Power[1:0]</t>
  </si>
  <si>
    <t>Register address = 100 (fixed)</t>
  </si>
  <si>
    <t>ADF4351  ▸  Reg 5 — Lock Detect   (editar bits azules → hex se actualiza automáticamente)</t>
  </si>
  <si>
    <t>00=Low, 01=Digital LD, 10=Low, 11=High</t>
  </si>
  <si>
    <t>Write 000</t>
  </si>
  <si>
    <t>Reserved*</t>
  </si>
  <si>
    <t>Write 110 (per datasheet)</t>
  </si>
  <si>
    <t>Register address = 101 (fixed)</t>
  </si>
  <si>
    <t>▶  HEXA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</si>
</sst>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sz val="9"/>
      <color rgb="FF000000"/>
      <name val="Arial"/>
      <charset val="1"/>
    </font>
    <font>
      <b/>
      <sz val="10"/>
      <color rgb="FF1A237E"/>
      <name val="Courier New"/>
      <charset val="1"/>
    </font>
    <font>
      <b/>
      <sz val="10"/>
      <color rgb="FFB71C1C"/>
      <name val="Courier New"/>
      <charset val="1"/>
    </font>
    <font>
      <sz val="8"/>
      <color rgb="FF333333"/>
      <name val="Arial"/>
      <charset val="1"/>
    </font>
    <font>
      <b/>
      <sz val="9"/>
      <color rgb="FF1B5E20"/>
      <name val="Arial"/>
      <charset val="1"/>
    </font>
    <font>
      <b/>
      <sz val="9"/>
      <color rgb="FF0D47A1"/>
      <name val="Arial"/>
      <charset val="1"/>
    </font>
    <font>
      <b/>
      <sz val="9"/>
      <color rgb="FF4A148C"/>
      <name val="Arial"/>
      <charset val="1"/>
    </font>
    <font>
      <b/>
      <sz val="9"/>
      <color rgb="FFB71C1C"/>
      <name val="Arial"/>
      <charset val="1"/>
    </font>
    <font>
      <b/>
      <sz val="9"/>
      <color rgb="FFE65100"/>
      <name val="Arial"/>
      <charset val="1"/>
    </font>
    <font>
      <b/>
      <sz val="9"/>
      <color rgb="FF004D40"/>
      <name val="Arial"/>
      <charset val="1"/>
    </font>
    <font>
      <i/>
      <sz val="9"/>
      <color rgb="FF37474F"/>
      <name val="Arial"/>
      <charset val="1"/>
    </font>
    <font>
      <b/>
      <sz val="7"/>
      <color rgb="FFFFFFFF"/>
      <name val="Arial"/>
      <charset val="1"/>
    </font>
    <font>
      <b/>
      <sz val="10"/>
      <color rgb="FF0D47A1"/>
      <name val="Courier New"/>
      <charset val="1"/>
    </font>
    <font>
      <sz val="9"/>
      <color rgb="FF222222"/>
      <name val="Arial"/>
      <charset val="1"/>
    </font>
    <font>
      <b/>
      <sz val="10"/>
      <color rgb="FF757575"/>
      <name val="Courier New"/>
      <charset val="1"/>
    </font>
    <font>
      <b/>
      <sz val="9"/>
      <color rgb="FF555555"/>
      <name val="Arial"/>
      <charset val="1"/>
    </font>
    <font>
      <i/>
      <sz val="9"/>
      <color rgb="FF777777"/>
      <name val="Arial"/>
      <charset val="1"/>
    </font>
    <font>
      <b/>
      <sz val="10"/>
      <color rgb="FFFFFFFF"/>
      <name val="Arial"/>
      <charset val="1"/>
    </font>
    <font>
      <b/>
      <sz val="11"/>
      <color rgb="FF1A237E"/>
      <name val="Courier New"/>
      <charset val="1"/>
    </font>
    <font>
      <b/>
      <sz val="13"/>
      <color rgb="FFB71C1C"/>
      <name val="Courier New"/>
      <charset val="1"/>
    </font>
    <font>
      <i/>
      <sz val="8"/>
      <color rgb="FF555555"/>
      <name val="Arial"/>
      <charset val="1"/>
    </font>
  </fonts>
  <fills count="28">
    <fill>
      <patternFill patternType="none"/>
    </fill>
    <fill>
      <patternFill patternType="gray125"/>
    </fill>
    <fill>
      <patternFill patternType="solid">
        <fgColor rgb="FF1A237E"/>
        <bgColor rgb="FF283593"/>
      </patternFill>
    </fill>
    <fill>
      <patternFill patternType="solid">
        <fgColor rgb="FF283593"/>
        <bgColor rgb="FF1A237E"/>
      </patternFill>
    </fill>
    <fill>
      <patternFill patternType="solid">
        <fgColor rgb="FF37474F"/>
        <bgColor rgb="FF333333"/>
      </patternFill>
    </fill>
    <fill>
      <patternFill patternType="solid">
        <fgColor rgb="FF1B5E20"/>
        <bgColor rgb="FF004D40"/>
      </patternFill>
    </fill>
    <fill>
      <patternFill patternType="solid">
        <fgColor rgb="FFE8F5E9"/>
        <bgColor rgb="FFE0F2F1"/>
      </patternFill>
    </fill>
    <fill>
      <patternFill patternType="solid">
        <fgColor rgb="FFE8EAF6"/>
        <bgColor rgb="FFECEFF1"/>
      </patternFill>
    </fill>
    <fill>
      <patternFill patternType="solid">
        <fgColor rgb="FFFFF9C4"/>
        <bgColor rgb="FFFFF3E0"/>
      </patternFill>
    </fill>
    <fill>
      <patternFill patternType="solid">
        <fgColor rgb="FF0D47A1"/>
        <bgColor rgb="FF283593"/>
      </patternFill>
    </fill>
    <fill>
      <patternFill patternType="solid">
        <fgColor rgb="FFE3F2FD"/>
        <bgColor rgb="FFE0F2F1"/>
      </patternFill>
    </fill>
    <fill>
      <patternFill patternType="solid">
        <fgColor rgb="FF4A148C"/>
        <bgColor rgb="FF6A1B9A"/>
      </patternFill>
    </fill>
    <fill>
      <patternFill patternType="solid">
        <fgColor rgb="FFF3E5F5"/>
        <bgColor rgb="FFE8EAF6"/>
      </patternFill>
    </fill>
    <fill>
      <patternFill patternType="solid">
        <fgColor rgb="FFB71C1C"/>
        <bgColor rgb="FFC62828"/>
      </patternFill>
    </fill>
    <fill>
      <patternFill patternType="solid">
        <fgColor rgb="FFFFEBEE"/>
        <bgColor rgb="FFFFF3E0"/>
      </patternFill>
    </fill>
    <fill>
      <patternFill patternType="solid">
        <fgColor rgb="FFE65100"/>
        <bgColor rgb="FFBF360C"/>
      </patternFill>
    </fill>
    <fill>
      <patternFill patternType="solid">
        <fgColor rgb="FFFFF3E0"/>
        <bgColor rgb="FFFFEBEE"/>
      </patternFill>
    </fill>
    <fill>
      <patternFill patternType="solid">
        <fgColor rgb="FF004D40"/>
        <bgColor rgb="FF1B5E20"/>
      </patternFill>
    </fill>
    <fill>
      <patternFill patternType="solid">
        <fgColor rgb="FFE0F2F1"/>
        <bgColor rgb="FFE3F2FD"/>
      </patternFill>
    </fill>
    <fill>
      <patternFill patternType="solid">
        <fgColor rgb="FFECEFF1"/>
        <bgColor rgb="FFE8EAF6"/>
      </patternFill>
    </fill>
    <fill>
      <patternFill patternType="solid">
        <fgColor rgb="FFFAFAFA"/>
        <bgColor rgb="FFF9F9F9"/>
      </patternFill>
    </fill>
    <fill>
      <patternFill patternType="solid">
        <fgColor rgb="FFF5F5F5"/>
        <bgColor rgb="FFF9F9F9"/>
      </patternFill>
    </fill>
    <fill>
      <patternFill patternType="solid">
        <fgColor rgb="FFF9F9F9"/>
        <bgColor rgb="FFFAFAFA"/>
      </patternFill>
    </fill>
    <fill>
      <patternFill patternType="solid">
        <fgColor rgb="FF1565C0"/>
        <bgColor rgb="FF0D47A1"/>
      </patternFill>
    </fill>
    <fill>
      <patternFill patternType="solid">
        <fgColor rgb="FF6A1B9A"/>
        <bgColor rgb="FF4A148C"/>
      </patternFill>
    </fill>
    <fill>
      <patternFill patternType="solid">
        <fgColor rgb="FFC62828"/>
        <bgColor rgb="FFB71C1C"/>
      </patternFill>
    </fill>
    <fill>
      <patternFill patternType="solid">
        <fgColor rgb="FFBF360C"/>
        <bgColor rgb="FFC62828"/>
      </patternFill>
    </fill>
    <fill>
      <patternFill patternType="solid">
        <fgColor rgb="FF00695C"/>
        <bgColor rgb="FF004D4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2" fillId="13" borderId="2" xfId="0" applyFont="1" applyFill="1" applyBorder="1" applyAlignment="1">
      <alignment horizontal="right" vertical="center"/>
    </xf>
    <xf numFmtId="0" fontId="4" fillId="13" borderId="2" xfId="0" applyFont="1" applyFill="1" applyBorder="1" applyAlignment="1">
      <alignment horizontal="left" vertical="center"/>
    </xf>
    <xf numFmtId="0" fontId="22" fillId="11" borderId="2" xfId="0" applyFont="1" applyFill="1" applyBorder="1" applyAlignment="1">
      <alignment horizontal="right" vertical="center"/>
    </xf>
    <xf numFmtId="0" fontId="4" fillId="11" borderId="2" xfId="0" applyFont="1" applyFill="1" applyBorder="1" applyAlignment="1">
      <alignment horizontal="left" vertical="center"/>
    </xf>
    <xf numFmtId="0" fontId="22" fillId="9" borderId="2" xfId="0" applyFont="1" applyFill="1" applyBorder="1" applyAlignment="1">
      <alignment horizontal="right" vertical="center"/>
    </xf>
    <xf numFmtId="0" fontId="4" fillId="9" borderId="2" xfId="0" applyFont="1" applyFill="1" applyBorder="1" applyAlignment="1">
      <alignment horizontal="left" vertical="center"/>
    </xf>
    <xf numFmtId="0" fontId="25" fillId="22" borderId="0" xfId="0" applyFont="1" applyFill="1" applyBorder="1" applyAlignment="1">
      <alignment horizontal="left" vertical="center"/>
    </xf>
    <xf numFmtId="0" fontId="24" fillId="8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0" fontId="15" fillId="19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right" vertical="center"/>
    </xf>
    <xf numFmtId="0" fontId="17" fillId="1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18" fillId="20" borderId="1" xfId="0" applyFont="1" applyFill="1" applyBorder="1" applyAlignment="1">
      <alignment horizontal="left" vertical="center" wrapText="1"/>
    </xf>
    <xf numFmtId="0" fontId="19" fillId="21" borderId="1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left" vertical="center"/>
    </xf>
    <xf numFmtId="0" fontId="21" fillId="20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right" vertical="center"/>
    </xf>
    <xf numFmtId="0" fontId="5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16" fillId="25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right" vertical="center"/>
    </xf>
    <xf numFmtId="0" fontId="5" fillId="1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16" fillId="26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right" vertical="center"/>
    </xf>
    <xf numFmtId="0" fontId="5" fillId="1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center" vertical="center"/>
    </xf>
    <xf numFmtId="0" fontId="16" fillId="2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14" fillId="18" borderId="1" xfId="0" applyFont="1" applyFill="1" applyBorder="1" applyAlignment="1">
      <alignment horizontal="right" vertical="center"/>
    </xf>
    <xf numFmtId="0" fontId="5" fillId="18" borderId="1" xfId="0" applyFont="1" applyFill="1" applyBorder="1" applyAlignment="1">
      <alignment horizontal="left" vertical="center"/>
    </xf>
    <xf numFmtId="0" fontId="4" fillId="15" borderId="2" xfId="0" applyFont="1" applyFill="1" applyBorder="1" applyAlignment="1">
      <alignment horizontal="left" vertical="center"/>
    </xf>
    <xf numFmtId="0" fontId="22" fillId="15" borderId="2" xfId="0" applyFont="1" applyFill="1" applyBorder="1" applyAlignment="1">
      <alignment horizontal="right" vertical="center"/>
    </xf>
    <xf numFmtId="0" fontId="4" fillId="17" borderId="2" xfId="0" applyFont="1" applyFill="1" applyBorder="1" applyAlignment="1">
      <alignment horizontal="left" vertical="center"/>
    </xf>
    <xf numFmtId="0" fontId="22" fillId="17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1B5E20"/>
      <rgbColor rgb="FF000080"/>
      <rgbColor rgb="FF555555"/>
      <rgbColor rgb="FF6A1B9A"/>
      <rgbColor rgb="FF00695C"/>
      <rgbColor rgb="FFBBBBBB"/>
      <rgbColor rgb="FF777777"/>
      <rgbColor rgb="FF9999FF"/>
      <rgbColor rgb="FFC62828"/>
      <rgbColor rgb="FFFFF9C4"/>
      <rgbColor rgb="FFE0F2F1"/>
      <rgbColor rgb="FF4A148C"/>
      <rgbColor rgb="FFFF8080"/>
      <rgbColor rgb="FF1565C0"/>
      <rgbColor rgb="FFE8EAF6"/>
      <rgbColor rgb="FF000080"/>
      <rgbColor rgb="FFFF00FF"/>
      <rgbColor rgb="FFFAFAFA"/>
      <rgbColor rgb="FF00FFFF"/>
      <rgbColor rgb="FF800080"/>
      <rgbColor rgb="FF800000"/>
      <rgbColor rgb="FF37474F"/>
      <rgbColor rgb="FF0000FF"/>
      <rgbColor rgb="FF00CCFF"/>
      <rgbColor rgb="FFE3F2FD"/>
      <rgbColor rgb="FFE8F5E9"/>
      <rgbColor rgb="FFFFF3E0"/>
      <rgbColor rgb="FFECEFF1"/>
      <rgbColor rgb="FFFFEBEE"/>
      <rgbColor rgb="FFF5F5F5"/>
      <rgbColor rgb="FFF3E5F5"/>
      <rgbColor rgb="FF0D47A1"/>
      <rgbColor rgb="FF33CCCC"/>
      <rgbColor rgb="FF99CC00"/>
      <rgbColor rgb="FFFFCC00"/>
      <rgbColor rgb="FFFF9900"/>
      <rgbColor rgb="FFE65100"/>
      <rgbColor rgb="FF757575"/>
      <rgbColor rgb="FF969696"/>
      <rgbColor rgb="FF1A237E"/>
      <rgbColor rgb="FF339966"/>
      <rgbColor rgb="FF004D40"/>
      <rgbColor rgb="FF222222"/>
      <rgbColor rgb="FFBF360C"/>
      <rgbColor rgb="FFB71C1C"/>
      <rgbColor rgb="FF28359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showGridLines="0" tabSelected="1" zoomScaleNormal="100" workbookViewId="0">
      <selection activeCell="J21" sqref="J21"/>
    </sheetView>
  </sheetViews>
  <sheetFormatPr baseColWidth="10" defaultColWidth="8.7109375" defaultRowHeight="15" x14ac:dyDescent="0.25"/>
  <cols>
    <col min="1" max="1" width="6" customWidth="1"/>
    <col min="2" max="2" width="8" customWidth="1"/>
    <col min="3" max="3" width="16.7109375" customWidth="1"/>
    <col min="4" max="4" width="20.5703125" customWidth="1"/>
    <col min="5" max="5" width="22" customWidth="1"/>
    <col min="6" max="9" width="10" customWidth="1"/>
    <col min="10" max="10" width="98.85546875" customWidth="1"/>
    <col min="11" max="11" width="14" customWidth="1"/>
  </cols>
  <sheetData>
    <row r="1" spans="1:11" ht="31.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27.75" customHeight="1" x14ac:dyDescent="0.25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/>
      <c r="G4" s="15"/>
      <c r="H4" s="15"/>
      <c r="I4" s="15"/>
      <c r="J4" s="15" t="s">
        <v>7</v>
      </c>
      <c r="K4" s="15" t="s">
        <v>8</v>
      </c>
    </row>
    <row r="5" spans="1:11" ht="21.75" customHeight="1" x14ac:dyDescent="0.25">
      <c r="A5" s="16">
        <v>0</v>
      </c>
      <c r="B5" s="17">
        <v>3</v>
      </c>
      <c r="C5" s="17">
        <v>29</v>
      </c>
      <c r="D5" s="18">
        <f>R0!D7</f>
        <v>3801248</v>
      </c>
      <c r="E5" s="19" t="str">
        <f>R0!Q7</f>
        <v>0x003A00A0</v>
      </c>
      <c r="F5" s="17"/>
      <c r="G5" s="17"/>
      <c r="H5" s="17"/>
      <c r="I5" s="17"/>
      <c r="J5" s="20" t="s">
        <v>9</v>
      </c>
      <c r="K5" s="21" t="s">
        <v>10</v>
      </c>
    </row>
    <row r="6" spans="1:11" ht="21.75" customHeight="1" x14ac:dyDescent="0.25">
      <c r="A6" s="22">
        <v>1</v>
      </c>
      <c r="B6" s="23">
        <v>6</v>
      </c>
      <c r="C6" s="23">
        <v>26</v>
      </c>
      <c r="D6" s="18">
        <f>'R1'!D10</f>
        <v>134251297</v>
      </c>
      <c r="E6" s="19" t="str">
        <f>'R1'!Q10</f>
        <v>0x08008321</v>
      </c>
      <c r="F6" s="23"/>
      <c r="G6" s="23"/>
      <c r="H6" s="23"/>
      <c r="I6" s="23"/>
      <c r="J6" s="24" t="s">
        <v>11</v>
      </c>
      <c r="K6" s="25" t="s">
        <v>12</v>
      </c>
    </row>
    <row r="7" spans="1:11" ht="21.75" customHeight="1" x14ac:dyDescent="0.25">
      <c r="A7" s="26">
        <v>2</v>
      </c>
      <c r="B7" s="27">
        <v>6</v>
      </c>
      <c r="C7" s="27">
        <v>26</v>
      </c>
      <c r="D7" s="18">
        <f>'R2'!D22</f>
        <v>1610629154</v>
      </c>
      <c r="E7" s="19" t="str">
        <f>'R2'!Q22</f>
        <v>0x60004022</v>
      </c>
      <c r="F7" s="27"/>
      <c r="G7" s="27"/>
      <c r="H7" s="27"/>
      <c r="I7" s="27"/>
      <c r="J7" s="28" t="s">
        <v>13</v>
      </c>
      <c r="K7" s="29" t="s">
        <v>14</v>
      </c>
    </row>
    <row r="8" spans="1:11" ht="21.75" customHeight="1" x14ac:dyDescent="0.25">
      <c r="A8" s="30">
        <v>3</v>
      </c>
      <c r="B8" s="31">
        <v>14</v>
      </c>
      <c r="C8" s="31">
        <v>18</v>
      </c>
      <c r="D8" s="18">
        <f>'R3'!D14</f>
        <v>3</v>
      </c>
      <c r="E8" s="19" t="str">
        <f>'R3'!Q14</f>
        <v>0x00000003</v>
      </c>
      <c r="F8" s="31"/>
      <c r="G8" s="31"/>
      <c r="H8" s="31"/>
      <c r="I8" s="31"/>
      <c r="J8" s="32" t="s">
        <v>15</v>
      </c>
      <c r="K8" s="33" t="s">
        <v>16</v>
      </c>
    </row>
    <row r="9" spans="1:11" ht="21.75" customHeight="1" x14ac:dyDescent="0.25">
      <c r="A9" s="34">
        <v>4</v>
      </c>
      <c r="B9" s="35">
        <v>11</v>
      </c>
      <c r="C9" s="35">
        <v>21</v>
      </c>
      <c r="D9" s="18">
        <f>'R4'!D16</f>
        <v>10813500</v>
      </c>
      <c r="E9" s="19" t="str">
        <f>'R4'!Q16</f>
        <v>0x00A5003C</v>
      </c>
      <c r="F9" s="35"/>
      <c r="G9" s="35"/>
      <c r="H9" s="35"/>
      <c r="I9" s="35"/>
      <c r="J9" s="36" t="s">
        <v>17</v>
      </c>
      <c r="K9" s="37" t="s">
        <v>18</v>
      </c>
    </row>
    <row r="10" spans="1:11" ht="21.75" customHeight="1" x14ac:dyDescent="0.25">
      <c r="A10" s="38">
        <v>5</v>
      </c>
      <c r="B10" s="39">
        <v>30</v>
      </c>
      <c r="C10" s="39">
        <v>2</v>
      </c>
      <c r="D10" s="18">
        <f>'R5'!D10</f>
        <v>4587525</v>
      </c>
      <c r="E10" s="19" t="str">
        <f>'R5'!Q10</f>
        <v>0x00460005</v>
      </c>
      <c r="F10" s="39"/>
      <c r="G10" s="39"/>
      <c r="H10" s="39"/>
      <c r="I10" s="39"/>
      <c r="J10" s="40" t="s">
        <v>19</v>
      </c>
      <c r="K10" s="41" t="s">
        <v>20</v>
      </c>
    </row>
    <row r="11" spans="1:11" ht="27.75" customHeight="1" x14ac:dyDescent="0.25">
      <c r="A11" s="12" t="s">
        <v>21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</sheetData>
  <mergeCells count="3">
    <mergeCell ref="A1:K1"/>
    <mergeCell ref="A2:K2"/>
    <mergeCell ref="A11:K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Views>
    <sheetView showGridLines="0" zoomScaleNormal="100" workbookViewId="0">
      <selection activeCell="A8" sqref="A8:AI8"/>
    </sheetView>
  </sheetViews>
  <sheetFormatPr baseColWidth="10" defaultColWidth="8.7109375" defaultRowHeight="15" x14ac:dyDescent="0.25"/>
  <cols>
    <col min="1" max="1" width="18" customWidth="1"/>
    <col min="2" max="33" width="3.140625" customWidth="1"/>
    <col min="34" max="34" width="22" customWidth="1"/>
    <col min="35" max="35" width="55" customWidth="1"/>
  </cols>
  <sheetData>
    <row r="1" spans="1:35" ht="24" customHeight="1" x14ac:dyDescent="0.25">
      <c r="A1" s="11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 ht="15.75" customHeight="1" x14ac:dyDescent="0.25">
      <c r="A2" s="42" t="s">
        <v>23</v>
      </c>
      <c r="B2" s="43">
        <v>31</v>
      </c>
      <c r="C2" s="43">
        <v>30</v>
      </c>
      <c r="D2" s="43">
        <v>29</v>
      </c>
      <c r="E2" s="43">
        <v>28</v>
      </c>
      <c r="F2" s="43">
        <v>27</v>
      </c>
      <c r="G2" s="43">
        <v>26</v>
      </c>
      <c r="H2" s="43">
        <v>25</v>
      </c>
      <c r="I2" s="43">
        <v>24</v>
      </c>
      <c r="J2" s="43">
        <v>23</v>
      </c>
      <c r="K2" s="43">
        <v>22</v>
      </c>
      <c r="L2" s="43">
        <v>21</v>
      </c>
      <c r="M2" s="43">
        <v>20</v>
      </c>
      <c r="N2" s="43">
        <v>19</v>
      </c>
      <c r="O2" s="43">
        <v>18</v>
      </c>
      <c r="P2" s="43">
        <v>17</v>
      </c>
      <c r="Q2" s="43">
        <v>16</v>
      </c>
      <c r="R2" s="43">
        <v>15</v>
      </c>
      <c r="S2" s="43">
        <v>14</v>
      </c>
      <c r="T2" s="43">
        <v>13</v>
      </c>
      <c r="U2" s="43">
        <v>12</v>
      </c>
      <c r="V2" s="43">
        <v>11</v>
      </c>
      <c r="W2" s="43">
        <v>10</v>
      </c>
      <c r="X2" s="43">
        <v>9</v>
      </c>
      <c r="Y2" s="43">
        <v>8</v>
      </c>
      <c r="Z2" s="43">
        <v>7</v>
      </c>
      <c r="AA2" s="43">
        <v>6</v>
      </c>
      <c r="AB2" s="43">
        <v>5</v>
      </c>
      <c r="AC2" s="43">
        <v>4</v>
      </c>
      <c r="AD2" s="43">
        <v>3</v>
      </c>
      <c r="AE2" s="43">
        <v>2</v>
      </c>
      <c r="AF2" s="43">
        <v>1</v>
      </c>
      <c r="AG2" s="43">
        <v>0</v>
      </c>
      <c r="AH2" s="42" t="s">
        <v>24</v>
      </c>
      <c r="AI2" s="44" t="s">
        <v>25</v>
      </c>
    </row>
    <row r="3" spans="1:35" ht="19.5" customHeight="1" x14ac:dyDescent="0.25">
      <c r="A3" s="45" t="s">
        <v>26</v>
      </c>
      <c r="B3" s="46">
        <v>0</v>
      </c>
      <c r="C3" s="46">
        <v>0</v>
      </c>
      <c r="D3" s="46">
        <v>0</v>
      </c>
      <c r="E3" s="46">
        <v>0</v>
      </c>
      <c r="F3" s="46">
        <v>0</v>
      </c>
      <c r="G3" s="46">
        <v>0</v>
      </c>
      <c r="H3" s="46">
        <v>0</v>
      </c>
      <c r="I3" s="46">
        <v>0</v>
      </c>
      <c r="J3" s="46">
        <v>0</v>
      </c>
      <c r="K3" s="46">
        <v>0</v>
      </c>
      <c r="L3" s="46">
        <v>1</v>
      </c>
      <c r="M3" s="46">
        <v>1</v>
      </c>
      <c r="N3" s="46">
        <v>1</v>
      </c>
      <c r="O3" s="46">
        <v>0</v>
      </c>
      <c r="P3" s="46">
        <v>1</v>
      </c>
      <c r="Q3" s="46">
        <v>0</v>
      </c>
      <c r="AH3" s="47" t="s">
        <v>26</v>
      </c>
      <c r="AI3" s="48" t="s">
        <v>27</v>
      </c>
    </row>
    <row r="4" spans="1:35" ht="19.5" customHeight="1" x14ac:dyDescent="0.25">
      <c r="A4" s="45" t="s">
        <v>28</v>
      </c>
      <c r="R4" s="46">
        <v>0</v>
      </c>
      <c r="S4" s="46">
        <v>0</v>
      </c>
      <c r="T4" s="46">
        <v>0</v>
      </c>
      <c r="U4" s="46">
        <v>0</v>
      </c>
      <c r="V4" s="46">
        <v>0</v>
      </c>
      <c r="W4" s="46">
        <v>0</v>
      </c>
      <c r="X4" s="46">
        <v>0</v>
      </c>
      <c r="Y4" s="46">
        <v>0</v>
      </c>
      <c r="Z4" s="46">
        <v>1</v>
      </c>
      <c r="AA4" s="46">
        <v>0</v>
      </c>
      <c r="AB4" s="46">
        <v>1</v>
      </c>
      <c r="AC4" s="46">
        <v>0</v>
      </c>
      <c r="AD4" s="46">
        <v>0</v>
      </c>
      <c r="AH4" s="47" t="s">
        <v>28</v>
      </c>
      <c r="AI4" s="48" t="s">
        <v>29</v>
      </c>
    </row>
    <row r="5" spans="1:35" ht="19.5" customHeight="1" x14ac:dyDescent="0.25">
      <c r="A5" s="45" t="s">
        <v>30</v>
      </c>
      <c r="AE5" s="49">
        <v>0</v>
      </c>
      <c r="AF5" s="49">
        <v>0</v>
      </c>
      <c r="AG5" s="49">
        <v>0</v>
      </c>
      <c r="AH5" s="50" t="s">
        <v>30</v>
      </c>
      <c r="AI5" s="51" t="s">
        <v>31</v>
      </c>
    </row>
    <row r="7" spans="1:35" ht="25.5" customHeight="1" x14ac:dyDescent="0.25">
      <c r="A7" s="10" t="s">
        <v>32</v>
      </c>
      <c r="B7" s="10"/>
      <c r="C7" s="10"/>
      <c r="D7" s="9">
        <f>B3*2147483648+C3*1073741824+D3*536870912+E3*268435456+F3*134217728+G3*67108864+H3*33554432+I3*16777216+J3*8388608+K3*4194304+L3*2097152+M3*1048576+N3*524288+O3*262144+P3*131072+Q3*65536+R4*32768+S4*16384+T4*8192+U4*4096+V4*2048+W4*1024+X4*512+Y4*256+Z4*128+AA4*64+AB4*32+AC4*16+AD4*8+AE5*4+AF5*2+AG5*1</f>
        <v>3801248</v>
      </c>
      <c r="E7" s="9"/>
      <c r="F7" s="9"/>
      <c r="G7" s="9"/>
      <c r="H7" s="9"/>
      <c r="I7" s="9"/>
      <c r="J7" s="9"/>
      <c r="K7" s="9"/>
      <c r="L7" s="9"/>
      <c r="M7" s="9"/>
      <c r="N7" s="10" t="s">
        <v>120</v>
      </c>
      <c r="O7" s="10"/>
      <c r="P7" s="10"/>
      <c r="Q7" s="8" t="str">
        <f>"0x"&amp;DEC2HEX(D7,8)</f>
        <v>0x003A00A0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spans="1:35" ht="13.5" customHeight="1" x14ac:dyDescent="0.25">
      <c r="A8" s="7" t="s">
        <v>33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</sheetData>
  <mergeCells count="6">
    <mergeCell ref="A8:AI8"/>
    <mergeCell ref="A1:AI1"/>
    <mergeCell ref="A7:C7"/>
    <mergeCell ref="D7:M7"/>
    <mergeCell ref="N7:P7"/>
    <mergeCell ref="Q7:AI7"/>
  </mergeCells>
  <dataValidations count="1">
    <dataValidation type="whole" showErrorMessage="1" errorTitle="Valor inválido" error="Solo se permite 0 o 1" sqref="B3:Q3 R4:AD4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"/>
  <sheetViews>
    <sheetView showGridLines="0" zoomScaleNormal="100" workbookViewId="0">
      <selection activeCell="S15" sqref="S15"/>
    </sheetView>
  </sheetViews>
  <sheetFormatPr baseColWidth="10" defaultColWidth="8.7109375" defaultRowHeight="15" x14ac:dyDescent="0.25"/>
  <cols>
    <col min="1" max="1" width="18" customWidth="1"/>
    <col min="2" max="33" width="3.140625" customWidth="1"/>
    <col min="34" max="34" width="22" customWidth="1"/>
    <col min="35" max="35" width="55" customWidth="1"/>
  </cols>
  <sheetData>
    <row r="1" spans="1:35" ht="24" customHeight="1" x14ac:dyDescent="0.25">
      <c r="A1" s="6" t="s">
        <v>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15.75" customHeight="1" x14ac:dyDescent="0.25">
      <c r="A2" s="52" t="s">
        <v>23</v>
      </c>
      <c r="B2" s="53">
        <v>31</v>
      </c>
      <c r="C2" s="53">
        <v>30</v>
      </c>
      <c r="D2" s="53">
        <v>29</v>
      </c>
      <c r="E2" s="53">
        <v>28</v>
      </c>
      <c r="F2" s="53">
        <v>27</v>
      </c>
      <c r="G2" s="53">
        <v>26</v>
      </c>
      <c r="H2" s="53">
        <v>25</v>
      </c>
      <c r="I2" s="53">
        <v>24</v>
      </c>
      <c r="J2" s="53">
        <v>23</v>
      </c>
      <c r="K2" s="53">
        <v>22</v>
      </c>
      <c r="L2" s="53">
        <v>21</v>
      </c>
      <c r="M2" s="53">
        <v>20</v>
      </c>
      <c r="N2" s="53">
        <v>19</v>
      </c>
      <c r="O2" s="53">
        <v>18</v>
      </c>
      <c r="P2" s="53">
        <v>17</v>
      </c>
      <c r="Q2" s="53">
        <v>16</v>
      </c>
      <c r="R2" s="53">
        <v>15</v>
      </c>
      <c r="S2" s="53">
        <v>14</v>
      </c>
      <c r="T2" s="53">
        <v>13</v>
      </c>
      <c r="U2" s="53">
        <v>12</v>
      </c>
      <c r="V2" s="53">
        <v>11</v>
      </c>
      <c r="W2" s="53">
        <v>10</v>
      </c>
      <c r="X2" s="53">
        <v>9</v>
      </c>
      <c r="Y2" s="53">
        <v>8</v>
      </c>
      <c r="Z2" s="53">
        <v>7</v>
      </c>
      <c r="AA2" s="53">
        <v>6</v>
      </c>
      <c r="AB2" s="53">
        <v>5</v>
      </c>
      <c r="AC2" s="53">
        <v>4</v>
      </c>
      <c r="AD2" s="53">
        <v>3</v>
      </c>
      <c r="AE2" s="53">
        <v>2</v>
      </c>
      <c r="AF2" s="53">
        <v>1</v>
      </c>
      <c r="AG2" s="53">
        <v>0</v>
      </c>
      <c r="AH2" s="52" t="s">
        <v>24</v>
      </c>
      <c r="AI2" s="54" t="s">
        <v>25</v>
      </c>
    </row>
    <row r="3" spans="1:35" ht="19.5" customHeight="1" x14ac:dyDescent="0.25">
      <c r="A3" s="55" t="s">
        <v>35</v>
      </c>
      <c r="B3" s="49">
        <v>0</v>
      </c>
      <c r="C3" s="49">
        <v>0</v>
      </c>
      <c r="D3" s="49">
        <v>0</v>
      </c>
      <c r="AH3" s="50" t="s">
        <v>35</v>
      </c>
      <c r="AI3" s="51" t="s">
        <v>36</v>
      </c>
    </row>
    <row r="4" spans="1:35" ht="19.5" customHeight="1" x14ac:dyDescent="0.25">
      <c r="A4" s="55" t="s">
        <v>37</v>
      </c>
      <c r="E4" s="46">
        <v>0</v>
      </c>
      <c r="AH4" s="56" t="s">
        <v>37</v>
      </c>
      <c r="AI4" s="48" t="s">
        <v>38</v>
      </c>
    </row>
    <row r="5" spans="1:35" ht="19.5" customHeight="1" x14ac:dyDescent="0.25">
      <c r="A5" s="55" t="s">
        <v>39</v>
      </c>
      <c r="F5" s="46">
        <v>1</v>
      </c>
      <c r="AH5" s="56" t="s">
        <v>39</v>
      </c>
      <c r="AI5" s="48" t="s">
        <v>40</v>
      </c>
    </row>
    <row r="6" spans="1:35" ht="19.5" customHeight="1" x14ac:dyDescent="0.25">
      <c r="A6" s="55" t="s">
        <v>41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v>0</v>
      </c>
      <c r="O6" s="46">
        <v>0</v>
      </c>
      <c r="P6" s="46">
        <v>0</v>
      </c>
      <c r="Q6" s="46">
        <v>0</v>
      </c>
      <c r="R6" s="46">
        <v>1</v>
      </c>
      <c r="AH6" s="56" t="s">
        <v>41</v>
      </c>
      <c r="AI6" s="48" t="s">
        <v>42</v>
      </c>
    </row>
    <row r="7" spans="1:35" ht="19.5" customHeight="1" x14ac:dyDescent="0.25">
      <c r="A7" s="55" t="s">
        <v>43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1</v>
      </c>
      <c r="Y7" s="46">
        <v>1</v>
      </c>
      <c r="Z7" s="46">
        <v>0</v>
      </c>
      <c r="AA7" s="46">
        <v>0</v>
      </c>
      <c r="AB7" s="46">
        <v>1</v>
      </c>
      <c r="AC7" s="46">
        <v>0</v>
      </c>
      <c r="AD7" s="46">
        <v>0</v>
      </c>
      <c r="AH7" s="56" t="s">
        <v>43</v>
      </c>
      <c r="AI7" s="48" t="s">
        <v>44</v>
      </c>
    </row>
    <row r="8" spans="1:35" ht="19.5" customHeight="1" x14ac:dyDescent="0.25">
      <c r="A8" s="55" t="s">
        <v>30</v>
      </c>
      <c r="AE8" s="49">
        <v>0</v>
      </c>
      <c r="AF8" s="49">
        <v>0</v>
      </c>
      <c r="AG8" s="49">
        <v>1</v>
      </c>
      <c r="AH8" s="50" t="s">
        <v>30</v>
      </c>
      <c r="AI8" s="51" t="s">
        <v>45</v>
      </c>
    </row>
    <row r="10" spans="1:35" ht="25.5" customHeight="1" x14ac:dyDescent="0.25">
      <c r="A10" s="5" t="s">
        <v>32</v>
      </c>
      <c r="B10" s="5"/>
      <c r="C10" s="5"/>
      <c r="D10" s="9">
        <f>B3*2147483648+C3*1073741824+D3*536870912+E4*268435456+F5*134217728+G6*67108864+H6*33554432+I6*16777216+J6*8388608+K6*4194304+L6*2097152+M6*1048576+N6*524288+O6*262144+P6*131072+Q6*65536+R6*32768+S7*16384+T7*8192+U7*4096+V7*2048+W7*1024+X7*512+Y7*256+Z7*128+AA7*64+AB7*32+AC7*16+AD7*8+AE8*4+AF8*2+AG8*1</f>
        <v>134251297</v>
      </c>
      <c r="E10" s="9"/>
      <c r="F10" s="9"/>
      <c r="G10" s="9"/>
      <c r="H10" s="9"/>
      <c r="I10" s="9"/>
      <c r="J10" s="9"/>
      <c r="K10" s="9"/>
      <c r="L10" s="9"/>
      <c r="M10" s="9"/>
      <c r="N10" s="5" t="s">
        <v>120</v>
      </c>
      <c r="O10" s="5"/>
      <c r="P10" s="5"/>
      <c r="Q10" s="8" t="str">
        <f>"0x"&amp;DEC2HEX(D10,8)</f>
        <v>0x08008321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1:35" ht="13.5" customHeight="1" x14ac:dyDescent="0.25">
      <c r="A11" s="7" t="s">
        <v>33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</sheetData>
  <mergeCells count="6">
    <mergeCell ref="A11:AI11"/>
    <mergeCell ref="A1:AI1"/>
    <mergeCell ref="A10:C10"/>
    <mergeCell ref="D10:M10"/>
    <mergeCell ref="N10:P10"/>
    <mergeCell ref="Q10:AI10"/>
  </mergeCells>
  <dataValidations count="1">
    <dataValidation type="whole" showErrorMessage="1" errorTitle="Valor inválido" error="Solo se permite 0 o 1" sqref="E4 F5 G6:R6 S7:AD7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"/>
  <sheetViews>
    <sheetView showGridLines="0" zoomScaleNormal="100" workbookViewId="0">
      <selection activeCell="S26" sqref="S26"/>
    </sheetView>
  </sheetViews>
  <sheetFormatPr baseColWidth="10" defaultColWidth="8.7109375" defaultRowHeight="15" x14ac:dyDescent="0.25"/>
  <cols>
    <col min="1" max="1" width="18" customWidth="1"/>
    <col min="2" max="33" width="3.140625" customWidth="1"/>
    <col min="34" max="34" width="22" customWidth="1"/>
    <col min="35" max="35" width="55" customWidth="1"/>
  </cols>
  <sheetData>
    <row r="1" spans="1:35" ht="24" customHeight="1" x14ac:dyDescent="0.25">
      <c r="A1" s="4" t="s">
        <v>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ht="15.75" customHeight="1" x14ac:dyDescent="0.25">
      <c r="A2" s="57" t="s">
        <v>23</v>
      </c>
      <c r="B2" s="58">
        <v>31</v>
      </c>
      <c r="C2" s="58">
        <v>30</v>
      </c>
      <c r="D2" s="58">
        <v>29</v>
      </c>
      <c r="E2" s="58">
        <v>28</v>
      </c>
      <c r="F2" s="58">
        <v>27</v>
      </c>
      <c r="G2" s="58">
        <v>26</v>
      </c>
      <c r="H2" s="58">
        <v>25</v>
      </c>
      <c r="I2" s="58">
        <v>24</v>
      </c>
      <c r="J2" s="58">
        <v>23</v>
      </c>
      <c r="K2" s="58">
        <v>22</v>
      </c>
      <c r="L2" s="58">
        <v>21</v>
      </c>
      <c r="M2" s="58">
        <v>20</v>
      </c>
      <c r="N2" s="58">
        <v>19</v>
      </c>
      <c r="O2" s="58">
        <v>18</v>
      </c>
      <c r="P2" s="58">
        <v>17</v>
      </c>
      <c r="Q2" s="58">
        <v>16</v>
      </c>
      <c r="R2" s="58">
        <v>15</v>
      </c>
      <c r="S2" s="58">
        <v>14</v>
      </c>
      <c r="T2" s="58">
        <v>13</v>
      </c>
      <c r="U2" s="58">
        <v>12</v>
      </c>
      <c r="V2" s="58">
        <v>11</v>
      </c>
      <c r="W2" s="58">
        <v>10</v>
      </c>
      <c r="X2" s="58">
        <v>9</v>
      </c>
      <c r="Y2" s="58">
        <v>8</v>
      </c>
      <c r="Z2" s="58">
        <v>7</v>
      </c>
      <c r="AA2" s="58">
        <v>6</v>
      </c>
      <c r="AB2" s="58">
        <v>5</v>
      </c>
      <c r="AC2" s="58">
        <v>4</v>
      </c>
      <c r="AD2" s="58">
        <v>3</v>
      </c>
      <c r="AE2" s="58">
        <v>2</v>
      </c>
      <c r="AF2" s="58">
        <v>1</v>
      </c>
      <c r="AG2" s="58">
        <v>0</v>
      </c>
      <c r="AH2" s="57" t="s">
        <v>24</v>
      </c>
      <c r="AI2" s="59" t="s">
        <v>25</v>
      </c>
    </row>
    <row r="3" spans="1:35" ht="19.5" customHeight="1" x14ac:dyDescent="0.25">
      <c r="A3" s="60" t="s">
        <v>35</v>
      </c>
      <c r="B3" s="49">
        <v>0</v>
      </c>
      <c r="AH3" s="50" t="s">
        <v>35</v>
      </c>
      <c r="AI3" s="51" t="s">
        <v>36</v>
      </c>
    </row>
    <row r="4" spans="1:35" ht="19.5" customHeight="1" x14ac:dyDescent="0.25">
      <c r="A4" s="60" t="s">
        <v>47</v>
      </c>
      <c r="C4" s="46">
        <v>1</v>
      </c>
      <c r="D4" s="46">
        <v>1</v>
      </c>
      <c r="AH4" s="61" t="s">
        <v>47</v>
      </c>
      <c r="AI4" s="48" t="s">
        <v>48</v>
      </c>
    </row>
    <row r="5" spans="1:35" ht="19.5" customHeight="1" x14ac:dyDescent="0.25">
      <c r="A5" s="60" t="s">
        <v>49</v>
      </c>
      <c r="E5" s="46">
        <v>0</v>
      </c>
      <c r="F5" s="46">
        <v>0</v>
      </c>
      <c r="G5" s="46">
        <v>0</v>
      </c>
      <c r="AH5" s="61" t="s">
        <v>49</v>
      </c>
      <c r="AI5" s="48" t="s">
        <v>50</v>
      </c>
    </row>
    <row r="6" spans="1:35" ht="19.5" customHeight="1" x14ac:dyDescent="0.25">
      <c r="A6" s="60" t="s">
        <v>51</v>
      </c>
      <c r="H6" s="46">
        <v>0</v>
      </c>
      <c r="AH6" s="61" t="s">
        <v>51</v>
      </c>
      <c r="AI6" s="48" t="s">
        <v>52</v>
      </c>
    </row>
    <row r="7" spans="1:35" ht="19.5" customHeight="1" x14ac:dyDescent="0.25">
      <c r="A7" s="60" t="s">
        <v>53</v>
      </c>
      <c r="I7" s="46">
        <v>0</v>
      </c>
      <c r="AH7" s="61" t="s">
        <v>53</v>
      </c>
      <c r="AI7" s="48" t="s">
        <v>54</v>
      </c>
    </row>
    <row r="8" spans="1:35" ht="19.5" customHeight="1" x14ac:dyDescent="0.25">
      <c r="A8" s="60" t="s">
        <v>55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46">
        <v>0</v>
      </c>
      <c r="Q8" s="46">
        <v>0</v>
      </c>
      <c r="R8" s="46">
        <v>0</v>
      </c>
      <c r="S8" s="46">
        <v>1</v>
      </c>
      <c r="AH8" s="61" t="s">
        <v>55</v>
      </c>
      <c r="AI8" s="48" t="s">
        <v>56</v>
      </c>
    </row>
    <row r="9" spans="1:35" ht="19.5" customHeight="1" x14ac:dyDescent="0.25">
      <c r="A9" s="60" t="s">
        <v>57</v>
      </c>
      <c r="T9" s="46">
        <v>0</v>
      </c>
      <c r="AH9" s="61" t="s">
        <v>57</v>
      </c>
      <c r="AI9" s="48" t="s">
        <v>58</v>
      </c>
    </row>
    <row r="10" spans="1:35" ht="19.5" customHeight="1" x14ac:dyDescent="0.25">
      <c r="A10" s="60" t="s">
        <v>59</v>
      </c>
      <c r="U10" s="46">
        <v>0</v>
      </c>
      <c r="AH10" s="61" t="s">
        <v>59</v>
      </c>
      <c r="AI10" s="48" t="s">
        <v>60</v>
      </c>
    </row>
    <row r="11" spans="1:35" ht="19.5" customHeight="1" x14ac:dyDescent="0.25">
      <c r="A11" s="60" t="s">
        <v>61</v>
      </c>
      <c r="V11" s="46">
        <v>0</v>
      </c>
      <c r="AH11" s="61" t="s">
        <v>61</v>
      </c>
      <c r="AI11" s="48" t="s">
        <v>62</v>
      </c>
    </row>
    <row r="12" spans="1:35" ht="19.5" customHeight="1" x14ac:dyDescent="0.25">
      <c r="A12" s="60" t="s">
        <v>35</v>
      </c>
      <c r="W12" s="49">
        <v>0</v>
      </c>
      <c r="X12" s="49">
        <v>0</v>
      </c>
      <c r="AH12" s="50" t="s">
        <v>35</v>
      </c>
      <c r="AI12" s="51" t="s">
        <v>63</v>
      </c>
    </row>
    <row r="13" spans="1:35" ht="19.5" customHeight="1" x14ac:dyDescent="0.25">
      <c r="A13" s="60" t="s">
        <v>64</v>
      </c>
      <c r="Y13" s="46">
        <v>0</v>
      </c>
      <c r="AH13" s="61" t="s">
        <v>64</v>
      </c>
      <c r="AI13" s="48" t="s">
        <v>65</v>
      </c>
    </row>
    <row r="14" spans="1:35" ht="19.5" customHeight="1" x14ac:dyDescent="0.25">
      <c r="A14" s="60" t="s">
        <v>66</v>
      </c>
      <c r="Z14" s="46">
        <v>0</v>
      </c>
      <c r="AH14" s="61" t="s">
        <v>66</v>
      </c>
      <c r="AI14" s="48" t="s">
        <v>67</v>
      </c>
    </row>
    <row r="15" spans="1:35" ht="19.5" customHeight="1" x14ac:dyDescent="0.25">
      <c r="A15" s="60" t="s">
        <v>68</v>
      </c>
      <c r="AA15" s="46">
        <v>0</v>
      </c>
      <c r="AH15" s="61" t="s">
        <v>68</v>
      </c>
      <c r="AI15" s="48" t="s">
        <v>69</v>
      </c>
    </row>
    <row r="16" spans="1:35" ht="19.5" customHeight="1" x14ac:dyDescent="0.25">
      <c r="A16" s="60" t="s">
        <v>70</v>
      </c>
      <c r="AB16" s="46">
        <v>1</v>
      </c>
      <c r="AH16" s="61" t="s">
        <v>70</v>
      </c>
      <c r="AI16" s="48" t="s">
        <v>71</v>
      </c>
    </row>
    <row r="17" spans="1:35" ht="19.5" customHeight="1" x14ac:dyDescent="0.25">
      <c r="A17" s="60" t="s">
        <v>72</v>
      </c>
      <c r="AC17" s="46">
        <v>0</v>
      </c>
      <c r="AH17" s="61" t="s">
        <v>72</v>
      </c>
      <c r="AI17" s="48" t="s">
        <v>73</v>
      </c>
    </row>
    <row r="18" spans="1:35" ht="19.5" customHeight="1" x14ac:dyDescent="0.25">
      <c r="A18" s="60" t="s">
        <v>74</v>
      </c>
      <c r="AD18" s="49">
        <v>0</v>
      </c>
      <c r="AH18" s="50" t="s">
        <v>74</v>
      </c>
      <c r="AI18" s="51" t="s">
        <v>75</v>
      </c>
    </row>
    <row r="19" spans="1:35" ht="19.5" customHeight="1" x14ac:dyDescent="0.25">
      <c r="A19" s="60" t="s">
        <v>76</v>
      </c>
      <c r="AE19" s="46">
        <v>0</v>
      </c>
      <c r="AH19" s="61" t="s">
        <v>76</v>
      </c>
      <c r="AI19" s="48" t="s">
        <v>77</v>
      </c>
    </row>
    <row r="20" spans="1:35" ht="19.5" customHeight="1" x14ac:dyDescent="0.25">
      <c r="A20" s="60" t="s">
        <v>78</v>
      </c>
      <c r="AF20" s="49">
        <v>1</v>
      </c>
      <c r="AG20" s="49">
        <v>0</v>
      </c>
      <c r="AH20" s="50" t="s">
        <v>78</v>
      </c>
      <c r="AI20" s="51" t="s">
        <v>79</v>
      </c>
    </row>
    <row r="22" spans="1:35" ht="25.5" customHeight="1" x14ac:dyDescent="0.25">
      <c r="A22" s="3" t="s">
        <v>32</v>
      </c>
      <c r="B22" s="3"/>
      <c r="C22" s="3"/>
      <c r="D22" s="9">
        <f>B3*2147483648+C4*1073741824+D4*536870912+E5*268435456+F5*134217728+G5*67108864+H6*33554432+I7*16777216+J8*8388608+K8*4194304+L8*2097152+M8*1048576+N8*524288+O8*262144+P8*131072+Q8*65536+R8*32768+S8*16384+T9*8192+U10*4096+V11*2048+W12*1024+X12*512+Y13*256+Z14*128+AA15*64+AB16*32+AC17*16+AD18*8+AE19*4+AF20*2+AG20*1</f>
        <v>1610629154</v>
      </c>
      <c r="E22" s="9"/>
      <c r="F22" s="9"/>
      <c r="G22" s="9"/>
      <c r="H22" s="9"/>
      <c r="I22" s="9"/>
      <c r="J22" s="9"/>
      <c r="K22" s="9"/>
      <c r="L22" s="9"/>
      <c r="M22" s="9"/>
      <c r="N22" s="3" t="s">
        <v>120</v>
      </c>
      <c r="O22" s="3"/>
      <c r="P22" s="3"/>
      <c r="Q22" s="8" t="str">
        <f>"0x"&amp;DEC2HEX(D22,8)</f>
        <v>0x60004022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3.5" customHeight="1" x14ac:dyDescent="0.25">
      <c r="A23" s="7" t="s">
        <v>33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</sheetData>
  <mergeCells count="6">
    <mergeCell ref="A23:AI23"/>
    <mergeCell ref="A1:AI1"/>
    <mergeCell ref="A22:C22"/>
    <mergeCell ref="D22:M22"/>
    <mergeCell ref="N22:P22"/>
    <mergeCell ref="Q22:AI22"/>
  </mergeCells>
  <dataValidations count="1">
    <dataValidation type="whole" showErrorMessage="1" errorTitle="Valor inválido" error="Solo se permite 0 o 1" sqref="C4:D4 E5:G5 H6 I7 J8:S8 T9 U10 V11 Y13 Z14 AA15 AB16 AC17 AE19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"/>
  <sheetViews>
    <sheetView showGridLines="0" zoomScaleNormal="100" workbookViewId="0">
      <selection activeCell="A15" sqref="A15:AI15"/>
    </sheetView>
  </sheetViews>
  <sheetFormatPr baseColWidth="10" defaultColWidth="8.7109375" defaultRowHeight="15" x14ac:dyDescent="0.25"/>
  <cols>
    <col min="1" max="1" width="18" customWidth="1"/>
    <col min="2" max="33" width="3.140625" customWidth="1"/>
    <col min="34" max="34" width="22" customWidth="1"/>
    <col min="35" max="35" width="55" customWidth="1"/>
  </cols>
  <sheetData>
    <row r="1" spans="1:35" ht="24" customHeight="1" x14ac:dyDescent="0.25">
      <c r="A1" s="2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5.75" customHeight="1" x14ac:dyDescent="0.25">
      <c r="A2" s="62" t="s">
        <v>23</v>
      </c>
      <c r="B2" s="63">
        <v>31</v>
      </c>
      <c r="C2" s="63">
        <v>30</v>
      </c>
      <c r="D2" s="63">
        <v>29</v>
      </c>
      <c r="E2" s="63">
        <v>28</v>
      </c>
      <c r="F2" s="63">
        <v>27</v>
      </c>
      <c r="G2" s="63">
        <v>26</v>
      </c>
      <c r="H2" s="63">
        <v>25</v>
      </c>
      <c r="I2" s="63">
        <v>24</v>
      </c>
      <c r="J2" s="63">
        <v>23</v>
      </c>
      <c r="K2" s="63">
        <v>22</v>
      </c>
      <c r="L2" s="63">
        <v>21</v>
      </c>
      <c r="M2" s="63">
        <v>20</v>
      </c>
      <c r="N2" s="63">
        <v>19</v>
      </c>
      <c r="O2" s="63">
        <v>18</v>
      </c>
      <c r="P2" s="63">
        <v>17</v>
      </c>
      <c r="Q2" s="63">
        <v>16</v>
      </c>
      <c r="R2" s="63">
        <v>15</v>
      </c>
      <c r="S2" s="63">
        <v>14</v>
      </c>
      <c r="T2" s="63">
        <v>13</v>
      </c>
      <c r="U2" s="63">
        <v>12</v>
      </c>
      <c r="V2" s="63">
        <v>11</v>
      </c>
      <c r="W2" s="63">
        <v>10</v>
      </c>
      <c r="X2" s="63">
        <v>9</v>
      </c>
      <c r="Y2" s="63">
        <v>8</v>
      </c>
      <c r="Z2" s="63">
        <v>7</v>
      </c>
      <c r="AA2" s="63">
        <v>6</v>
      </c>
      <c r="AB2" s="63">
        <v>5</v>
      </c>
      <c r="AC2" s="63">
        <v>4</v>
      </c>
      <c r="AD2" s="63">
        <v>3</v>
      </c>
      <c r="AE2" s="63">
        <v>2</v>
      </c>
      <c r="AF2" s="63">
        <v>1</v>
      </c>
      <c r="AG2" s="63">
        <v>0</v>
      </c>
      <c r="AH2" s="62" t="s">
        <v>24</v>
      </c>
      <c r="AI2" s="64" t="s">
        <v>25</v>
      </c>
    </row>
    <row r="3" spans="1:35" ht="19.5" customHeight="1" x14ac:dyDescent="0.25">
      <c r="A3" s="65" t="s">
        <v>35</v>
      </c>
      <c r="B3" s="49">
        <v>0</v>
      </c>
      <c r="C3" s="49">
        <v>0</v>
      </c>
      <c r="D3" s="49">
        <v>0</v>
      </c>
      <c r="E3" s="49">
        <v>0</v>
      </c>
      <c r="F3" s="49">
        <v>0</v>
      </c>
      <c r="G3" s="49">
        <v>0</v>
      </c>
      <c r="H3" s="49">
        <v>0</v>
      </c>
      <c r="I3" s="49">
        <v>0</v>
      </c>
      <c r="AH3" s="50" t="s">
        <v>35</v>
      </c>
      <c r="AI3" s="51" t="s">
        <v>36</v>
      </c>
    </row>
    <row r="4" spans="1:35" ht="19.5" customHeight="1" x14ac:dyDescent="0.25">
      <c r="A4" s="65" t="s">
        <v>81</v>
      </c>
      <c r="J4" s="46">
        <v>0</v>
      </c>
      <c r="AH4" s="66" t="s">
        <v>81</v>
      </c>
      <c r="AI4" s="48" t="s">
        <v>82</v>
      </c>
    </row>
    <row r="5" spans="1:35" ht="19.5" customHeight="1" x14ac:dyDescent="0.25">
      <c r="A5" s="65" t="s">
        <v>83</v>
      </c>
      <c r="K5" s="46">
        <v>0</v>
      </c>
      <c r="AH5" s="66" t="s">
        <v>83</v>
      </c>
      <c r="AI5" s="48" t="s">
        <v>84</v>
      </c>
    </row>
    <row r="6" spans="1:35" ht="19.5" customHeight="1" x14ac:dyDescent="0.25">
      <c r="A6" s="65" t="s">
        <v>61</v>
      </c>
      <c r="L6" s="46">
        <v>0</v>
      </c>
      <c r="AH6" s="66" t="s">
        <v>61</v>
      </c>
      <c r="AI6" s="48" t="s">
        <v>85</v>
      </c>
    </row>
    <row r="7" spans="1:35" ht="19.5" customHeight="1" x14ac:dyDescent="0.25">
      <c r="A7" s="65" t="s">
        <v>35</v>
      </c>
      <c r="M7" s="49">
        <v>0</v>
      </c>
      <c r="N7" s="49">
        <v>0</v>
      </c>
      <c r="AH7" s="50" t="s">
        <v>35</v>
      </c>
      <c r="AI7" s="51" t="s">
        <v>63</v>
      </c>
    </row>
    <row r="8" spans="1:35" ht="19.5" customHeight="1" x14ac:dyDescent="0.25">
      <c r="A8" s="65" t="s">
        <v>86</v>
      </c>
      <c r="O8" s="46">
        <v>0</v>
      </c>
      <c r="AH8" s="66" t="s">
        <v>86</v>
      </c>
      <c r="AI8" s="48" t="s">
        <v>87</v>
      </c>
    </row>
    <row r="9" spans="1:35" ht="19.5" customHeight="1" x14ac:dyDescent="0.25">
      <c r="A9" s="65" t="s">
        <v>35</v>
      </c>
      <c r="P9" s="49">
        <v>0</v>
      </c>
      <c r="AH9" s="50" t="s">
        <v>35</v>
      </c>
      <c r="AI9" s="51" t="s">
        <v>36</v>
      </c>
    </row>
    <row r="10" spans="1:35" ht="19.5" customHeight="1" x14ac:dyDescent="0.25">
      <c r="A10" s="65" t="s">
        <v>88</v>
      </c>
      <c r="Q10" s="46">
        <v>0</v>
      </c>
      <c r="R10" s="46">
        <v>0</v>
      </c>
      <c r="AH10" s="66" t="s">
        <v>88</v>
      </c>
      <c r="AI10" s="48" t="s">
        <v>89</v>
      </c>
    </row>
    <row r="11" spans="1:35" ht="19.5" customHeight="1" x14ac:dyDescent="0.25">
      <c r="A11" s="65" t="s">
        <v>90</v>
      </c>
      <c r="S11" s="46">
        <v>0</v>
      </c>
      <c r="T11" s="46">
        <v>0</v>
      </c>
      <c r="U11" s="46">
        <v>0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  <c r="AA11" s="46">
        <v>0</v>
      </c>
      <c r="AB11" s="46">
        <v>0</v>
      </c>
      <c r="AC11" s="46">
        <v>0</v>
      </c>
      <c r="AD11" s="46">
        <v>0</v>
      </c>
      <c r="AH11" s="66" t="s">
        <v>90</v>
      </c>
      <c r="AI11" s="48" t="s">
        <v>91</v>
      </c>
    </row>
    <row r="12" spans="1:35" ht="19.5" customHeight="1" x14ac:dyDescent="0.25">
      <c r="A12" s="65" t="s">
        <v>30</v>
      </c>
      <c r="AE12" s="49">
        <v>0</v>
      </c>
      <c r="AF12" s="49">
        <v>1</v>
      </c>
      <c r="AG12" s="49">
        <v>1</v>
      </c>
      <c r="AH12" s="50" t="s">
        <v>30</v>
      </c>
      <c r="AI12" s="51" t="s">
        <v>92</v>
      </c>
    </row>
    <row r="14" spans="1:35" ht="25.5" customHeight="1" x14ac:dyDescent="0.25">
      <c r="A14" s="1" t="s">
        <v>32</v>
      </c>
      <c r="B14" s="1"/>
      <c r="C14" s="1"/>
      <c r="D14" s="9">
        <f>B3*2147483648+C3*1073741824+D3*536870912+E3*268435456+F3*134217728+G3*67108864+H3*33554432+I3*16777216+J4*8388608+K5*4194304+L6*2097152+M7*1048576+N7*524288+O8*262144+P9*131072+Q10*65536+R10*32768+S11*16384+T11*8192+U11*4096+V11*2048+W11*1024+X11*512+Y11*256+Z11*128+AA11*64+AB11*32+AC11*16+AD11*8+AE12*4+AF12*2+AG12*1</f>
        <v>3</v>
      </c>
      <c r="E14" s="9"/>
      <c r="F14" s="9"/>
      <c r="G14" s="9"/>
      <c r="H14" s="9"/>
      <c r="I14" s="9"/>
      <c r="J14" s="9"/>
      <c r="K14" s="9"/>
      <c r="L14" s="9"/>
      <c r="M14" s="9"/>
      <c r="N14" s="1" t="s">
        <v>120</v>
      </c>
      <c r="O14" s="1"/>
      <c r="P14" s="1"/>
      <c r="Q14" s="8" t="str">
        <f>"0x"&amp;DEC2HEX(D14,8)</f>
        <v>0x00000003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3.5" customHeight="1" x14ac:dyDescent="0.25">
      <c r="A15" s="7" t="s">
        <v>33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</sheetData>
  <mergeCells count="6">
    <mergeCell ref="A15:AI15"/>
    <mergeCell ref="A1:AI1"/>
    <mergeCell ref="A14:C14"/>
    <mergeCell ref="D14:M14"/>
    <mergeCell ref="N14:P14"/>
    <mergeCell ref="Q14:AI14"/>
  </mergeCells>
  <dataValidations count="1">
    <dataValidation type="whole" showErrorMessage="1" errorTitle="Valor inválido" error="Solo se permite 0 o 1" sqref="J4 K5 L6 O8 Q10:R10 S11:AD11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"/>
  <sheetViews>
    <sheetView showGridLines="0" zoomScaleNormal="100" workbookViewId="0">
      <selection activeCell="Q18" sqref="Q18"/>
    </sheetView>
  </sheetViews>
  <sheetFormatPr baseColWidth="10" defaultColWidth="8.7109375" defaultRowHeight="15" x14ac:dyDescent="0.25"/>
  <cols>
    <col min="1" max="1" width="18" customWidth="1"/>
    <col min="2" max="33" width="3.140625" customWidth="1"/>
    <col min="34" max="34" width="22" customWidth="1"/>
    <col min="35" max="35" width="55" customWidth="1"/>
  </cols>
  <sheetData>
    <row r="1" spans="1:35" ht="24" customHeight="1" x14ac:dyDescent="0.25">
      <c r="A1" s="77" t="s">
        <v>93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 x14ac:dyDescent="0.25">
      <c r="A2" s="67" t="s">
        <v>23</v>
      </c>
      <c r="B2" s="68">
        <v>31</v>
      </c>
      <c r="C2" s="68">
        <v>30</v>
      </c>
      <c r="D2" s="68">
        <v>29</v>
      </c>
      <c r="E2" s="68">
        <v>28</v>
      </c>
      <c r="F2" s="68">
        <v>27</v>
      </c>
      <c r="G2" s="68">
        <v>26</v>
      </c>
      <c r="H2" s="68">
        <v>25</v>
      </c>
      <c r="I2" s="68">
        <v>24</v>
      </c>
      <c r="J2" s="68">
        <v>23</v>
      </c>
      <c r="K2" s="68">
        <v>22</v>
      </c>
      <c r="L2" s="68">
        <v>21</v>
      </c>
      <c r="M2" s="68">
        <v>20</v>
      </c>
      <c r="N2" s="68">
        <v>19</v>
      </c>
      <c r="O2" s="68">
        <v>18</v>
      </c>
      <c r="P2" s="68">
        <v>17</v>
      </c>
      <c r="Q2" s="68">
        <v>16</v>
      </c>
      <c r="R2" s="68">
        <v>15</v>
      </c>
      <c r="S2" s="68">
        <v>14</v>
      </c>
      <c r="T2" s="68">
        <v>13</v>
      </c>
      <c r="U2" s="68">
        <v>12</v>
      </c>
      <c r="V2" s="68">
        <v>11</v>
      </c>
      <c r="W2" s="68">
        <v>10</v>
      </c>
      <c r="X2" s="68">
        <v>9</v>
      </c>
      <c r="Y2" s="68">
        <v>8</v>
      </c>
      <c r="Z2" s="68">
        <v>7</v>
      </c>
      <c r="AA2" s="68">
        <v>6</v>
      </c>
      <c r="AB2" s="68">
        <v>5</v>
      </c>
      <c r="AC2" s="68">
        <v>4</v>
      </c>
      <c r="AD2" s="68">
        <v>3</v>
      </c>
      <c r="AE2" s="68">
        <v>2</v>
      </c>
      <c r="AF2" s="68">
        <v>1</v>
      </c>
      <c r="AG2" s="68">
        <v>0</v>
      </c>
      <c r="AH2" s="67" t="s">
        <v>24</v>
      </c>
      <c r="AI2" s="69" t="s">
        <v>25</v>
      </c>
    </row>
    <row r="3" spans="1:35" ht="19.5" customHeight="1" x14ac:dyDescent="0.25">
      <c r="A3" s="70" t="s">
        <v>35</v>
      </c>
      <c r="B3" s="49">
        <v>0</v>
      </c>
      <c r="C3" s="49">
        <v>0</v>
      </c>
      <c r="D3" s="49">
        <v>0</v>
      </c>
      <c r="E3" s="49">
        <v>0</v>
      </c>
      <c r="F3" s="49">
        <v>0</v>
      </c>
      <c r="G3" s="49">
        <v>0</v>
      </c>
      <c r="H3" s="49">
        <v>0</v>
      </c>
      <c r="I3" s="49">
        <v>0</v>
      </c>
      <c r="AH3" s="50" t="s">
        <v>35</v>
      </c>
      <c r="AI3" s="51" t="s">
        <v>36</v>
      </c>
    </row>
    <row r="4" spans="1:35" ht="19.5" customHeight="1" x14ac:dyDescent="0.25">
      <c r="A4" s="70" t="s">
        <v>94</v>
      </c>
      <c r="J4" s="46">
        <v>1</v>
      </c>
      <c r="AH4" s="71" t="s">
        <v>94</v>
      </c>
      <c r="AI4" s="48" t="s">
        <v>95</v>
      </c>
    </row>
    <row r="5" spans="1:35" ht="19.5" customHeight="1" x14ac:dyDescent="0.25">
      <c r="A5" s="70" t="s">
        <v>96</v>
      </c>
      <c r="K5" s="46">
        <v>0</v>
      </c>
      <c r="L5" s="46">
        <v>1</v>
      </c>
      <c r="M5" s="46">
        <v>0</v>
      </c>
      <c r="AH5" s="71" t="s">
        <v>96</v>
      </c>
      <c r="AI5" s="48" t="s">
        <v>97</v>
      </c>
    </row>
    <row r="6" spans="1:35" ht="19.5" customHeight="1" x14ac:dyDescent="0.25">
      <c r="A6" s="70" t="s">
        <v>98</v>
      </c>
      <c r="N6" s="46">
        <v>0</v>
      </c>
      <c r="O6" s="46">
        <v>1</v>
      </c>
      <c r="P6" s="46">
        <v>0</v>
      </c>
      <c r="Q6" s="46">
        <v>1</v>
      </c>
      <c r="R6" s="46">
        <v>0</v>
      </c>
      <c r="S6" s="46">
        <v>0</v>
      </c>
      <c r="T6" s="46">
        <v>0</v>
      </c>
      <c r="U6" s="46">
        <v>0</v>
      </c>
      <c r="AH6" s="71" t="s">
        <v>98</v>
      </c>
      <c r="AI6" s="48" t="s">
        <v>99</v>
      </c>
    </row>
    <row r="7" spans="1:35" ht="19.5" customHeight="1" x14ac:dyDescent="0.25">
      <c r="A7" s="70" t="s">
        <v>100</v>
      </c>
      <c r="V7" s="46">
        <v>0</v>
      </c>
      <c r="AH7" s="71" t="s">
        <v>100</v>
      </c>
      <c r="AI7" s="48" t="s">
        <v>101</v>
      </c>
    </row>
    <row r="8" spans="1:35" ht="19.5" customHeight="1" x14ac:dyDescent="0.25">
      <c r="A8" s="70" t="s">
        <v>102</v>
      </c>
      <c r="W8" s="46">
        <v>0</v>
      </c>
      <c r="AH8" s="71" t="s">
        <v>102</v>
      </c>
      <c r="AI8" s="48" t="s">
        <v>103</v>
      </c>
    </row>
    <row r="9" spans="1:35" ht="19.5" customHeight="1" x14ac:dyDescent="0.25">
      <c r="A9" s="70" t="s">
        <v>104</v>
      </c>
      <c r="X9" s="46">
        <v>0</v>
      </c>
      <c r="AH9" s="71" t="s">
        <v>104</v>
      </c>
      <c r="AI9" s="48" t="s">
        <v>105</v>
      </c>
    </row>
    <row r="10" spans="1:35" ht="19.5" customHeight="1" x14ac:dyDescent="0.25">
      <c r="A10" s="70" t="s">
        <v>106</v>
      </c>
      <c r="Y10" s="46">
        <v>0</v>
      </c>
      <c r="AH10" s="71" t="s">
        <v>106</v>
      </c>
      <c r="AI10" s="48" t="s">
        <v>107</v>
      </c>
    </row>
    <row r="11" spans="1:35" ht="19.5" customHeight="1" x14ac:dyDescent="0.25">
      <c r="A11" s="70" t="s">
        <v>108</v>
      </c>
      <c r="Z11" s="46">
        <v>0</v>
      </c>
      <c r="AA11" s="46">
        <v>0</v>
      </c>
      <c r="AH11" s="71" t="s">
        <v>108</v>
      </c>
      <c r="AI11" s="48" t="s">
        <v>109</v>
      </c>
    </row>
    <row r="12" spans="1:35" ht="19.5" customHeight="1" x14ac:dyDescent="0.25">
      <c r="A12" s="70" t="s">
        <v>110</v>
      </c>
      <c r="AB12" s="46">
        <v>1</v>
      </c>
      <c r="AH12" s="71" t="s">
        <v>110</v>
      </c>
      <c r="AI12" s="48" t="s">
        <v>111</v>
      </c>
    </row>
    <row r="13" spans="1:35" ht="19.5" customHeight="1" x14ac:dyDescent="0.25">
      <c r="A13" s="70" t="s">
        <v>112</v>
      </c>
      <c r="AC13" s="46">
        <v>1</v>
      </c>
      <c r="AD13" s="46">
        <v>1</v>
      </c>
      <c r="AH13" s="71" t="s">
        <v>112</v>
      </c>
      <c r="AI13" s="48" t="s">
        <v>109</v>
      </c>
    </row>
    <row r="14" spans="1:35" ht="19.5" customHeight="1" x14ac:dyDescent="0.25">
      <c r="A14" s="70" t="s">
        <v>30</v>
      </c>
      <c r="AE14" s="49">
        <v>1</v>
      </c>
      <c r="AF14" s="49">
        <v>0</v>
      </c>
      <c r="AG14" s="49">
        <v>0</v>
      </c>
      <c r="AH14" s="50" t="s">
        <v>30</v>
      </c>
      <c r="AI14" s="51" t="s">
        <v>113</v>
      </c>
    </row>
    <row r="16" spans="1:35" ht="25.5" customHeight="1" x14ac:dyDescent="0.25">
      <c r="A16" s="78" t="s">
        <v>32</v>
      </c>
      <c r="B16" s="78"/>
      <c r="C16" s="78"/>
      <c r="D16" s="9">
        <f>B3*2147483648+C3*1073741824+D3*536870912+E3*268435456+F3*134217728+G3*67108864+H3*33554432+I3*16777216+J4*8388608+K5*4194304+L5*2097152+M5*1048576+N6*524288+O6*262144+P6*131072+Q6*65536+R6*32768+S6*16384+T6*8192+U6*4096+V7*2048+W8*1024+X9*512+Y10*256+Z11*128+AA11*64+AB12*32+AC13*16+AD13*8+AE14*4+AF14*2+AG14*1</f>
        <v>10813500</v>
      </c>
      <c r="E16" s="9"/>
      <c r="F16" s="9"/>
      <c r="G16" s="9"/>
      <c r="H16" s="9"/>
      <c r="I16" s="9"/>
      <c r="J16" s="9"/>
      <c r="K16" s="9"/>
      <c r="L16" s="9"/>
      <c r="M16" s="9"/>
      <c r="N16" s="78" t="s">
        <v>120</v>
      </c>
      <c r="O16" s="78"/>
      <c r="P16" s="78"/>
      <c r="Q16" s="8" t="str">
        <f>"0x"&amp;DEC2HEX(D16,8)</f>
        <v>0x00A5003C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3.5" customHeight="1" x14ac:dyDescent="0.25">
      <c r="A17" s="7" t="s">
        <v>33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</sheetData>
  <mergeCells count="6">
    <mergeCell ref="A17:AI17"/>
    <mergeCell ref="A1:AI1"/>
    <mergeCell ref="A16:C16"/>
    <mergeCell ref="D16:M16"/>
    <mergeCell ref="N16:P16"/>
    <mergeCell ref="Q16:AI16"/>
  </mergeCells>
  <dataValidations count="1">
    <dataValidation type="whole" showErrorMessage="1" errorTitle="Valor inválido" error="Solo se permite 0 o 1" sqref="J4 K5:M5 N6:U6 V7 W8 X9 Y10 Z11:AA11 AB12 AC13:AD13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"/>
  <sheetViews>
    <sheetView showGridLines="0" zoomScaleNormal="100" workbookViewId="0">
      <selection activeCell="U13" sqref="U13"/>
    </sheetView>
  </sheetViews>
  <sheetFormatPr baseColWidth="10" defaultColWidth="8.7109375" defaultRowHeight="15" x14ac:dyDescent="0.25"/>
  <cols>
    <col min="1" max="1" width="18" customWidth="1"/>
    <col min="2" max="33" width="3.140625" customWidth="1"/>
    <col min="34" max="34" width="22" customWidth="1"/>
    <col min="35" max="35" width="55" customWidth="1"/>
  </cols>
  <sheetData>
    <row r="1" spans="1:35" ht="24" customHeight="1" x14ac:dyDescent="0.25">
      <c r="A1" s="79" t="s">
        <v>114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</row>
    <row r="2" spans="1:35" ht="15.75" customHeight="1" x14ac:dyDescent="0.25">
      <c r="A2" s="72" t="s">
        <v>23</v>
      </c>
      <c r="B2" s="73">
        <v>31</v>
      </c>
      <c r="C2" s="73">
        <v>30</v>
      </c>
      <c r="D2" s="73">
        <v>29</v>
      </c>
      <c r="E2" s="73">
        <v>28</v>
      </c>
      <c r="F2" s="73">
        <v>27</v>
      </c>
      <c r="G2" s="73">
        <v>26</v>
      </c>
      <c r="H2" s="73">
        <v>25</v>
      </c>
      <c r="I2" s="73">
        <v>24</v>
      </c>
      <c r="J2" s="73">
        <v>23</v>
      </c>
      <c r="K2" s="73">
        <v>22</v>
      </c>
      <c r="L2" s="73">
        <v>21</v>
      </c>
      <c r="M2" s="73">
        <v>20</v>
      </c>
      <c r="N2" s="73">
        <v>19</v>
      </c>
      <c r="O2" s="73">
        <v>18</v>
      </c>
      <c r="P2" s="73">
        <v>17</v>
      </c>
      <c r="Q2" s="73">
        <v>16</v>
      </c>
      <c r="R2" s="73">
        <v>15</v>
      </c>
      <c r="S2" s="73">
        <v>14</v>
      </c>
      <c r="T2" s="73">
        <v>13</v>
      </c>
      <c r="U2" s="73">
        <v>12</v>
      </c>
      <c r="V2" s="73">
        <v>11</v>
      </c>
      <c r="W2" s="73">
        <v>10</v>
      </c>
      <c r="X2" s="73">
        <v>9</v>
      </c>
      <c r="Y2" s="73">
        <v>8</v>
      </c>
      <c r="Z2" s="73">
        <v>7</v>
      </c>
      <c r="AA2" s="73">
        <v>6</v>
      </c>
      <c r="AB2" s="73">
        <v>5</v>
      </c>
      <c r="AC2" s="73">
        <v>4</v>
      </c>
      <c r="AD2" s="73">
        <v>3</v>
      </c>
      <c r="AE2" s="73">
        <v>2</v>
      </c>
      <c r="AF2" s="73">
        <v>1</v>
      </c>
      <c r="AG2" s="73">
        <v>0</v>
      </c>
      <c r="AH2" s="72" t="s">
        <v>24</v>
      </c>
      <c r="AI2" s="74" t="s">
        <v>25</v>
      </c>
    </row>
    <row r="3" spans="1:35" ht="19.5" customHeight="1" x14ac:dyDescent="0.25">
      <c r="A3" s="75" t="s">
        <v>35</v>
      </c>
      <c r="B3" s="49">
        <v>0</v>
      </c>
      <c r="C3" s="49">
        <v>0</v>
      </c>
      <c r="D3" s="49">
        <v>0</v>
      </c>
      <c r="E3" s="49">
        <v>0</v>
      </c>
      <c r="F3" s="49">
        <v>0</v>
      </c>
      <c r="G3" s="49">
        <v>0</v>
      </c>
      <c r="H3" s="49">
        <v>0</v>
      </c>
      <c r="I3" s="49">
        <v>0</v>
      </c>
      <c r="AH3" s="50" t="s">
        <v>35</v>
      </c>
      <c r="AI3" s="51" t="s">
        <v>36</v>
      </c>
    </row>
    <row r="4" spans="1:35" ht="19.5" customHeight="1" x14ac:dyDescent="0.25">
      <c r="A4" s="75" t="s">
        <v>19</v>
      </c>
      <c r="J4" s="46">
        <v>0</v>
      </c>
      <c r="K4" s="46">
        <v>1</v>
      </c>
      <c r="AH4" s="76" t="s">
        <v>19</v>
      </c>
      <c r="AI4" s="48" t="s">
        <v>115</v>
      </c>
    </row>
    <row r="5" spans="1:35" ht="19.5" customHeight="1" x14ac:dyDescent="0.25">
      <c r="A5" s="75" t="s">
        <v>35</v>
      </c>
      <c r="L5" s="49">
        <v>0</v>
      </c>
      <c r="M5" s="49">
        <v>0</v>
      </c>
      <c r="N5" s="49">
        <v>0</v>
      </c>
      <c r="AH5" s="50" t="s">
        <v>35</v>
      </c>
      <c r="AI5" s="51" t="s">
        <v>116</v>
      </c>
    </row>
    <row r="6" spans="1:35" ht="19.5" customHeight="1" x14ac:dyDescent="0.25">
      <c r="A6" s="75" t="s">
        <v>117</v>
      </c>
      <c r="O6" s="49">
        <v>1</v>
      </c>
      <c r="P6" s="49">
        <v>1</v>
      </c>
      <c r="Q6" s="49">
        <v>0</v>
      </c>
      <c r="AH6" s="50" t="s">
        <v>117</v>
      </c>
      <c r="AI6" s="51" t="s">
        <v>118</v>
      </c>
    </row>
    <row r="7" spans="1:35" ht="19.5" customHeight="1" x14ac:dyDescent="0.25">
      <c r="A7" s="75" t="s">
        <v>35</v>
      </c>
      <c r="R7" s="49">
        <v>0</v>
      </c>
      <c r="S7" s="49">
        <v>0</v>
      </c>
      <c r="T7" s="49">
        <v>0</v>
      </c>
      <c r="U7" s="49">
        <v>0</v>
      </c>
      <c r="V7" s="49">
        <v>0</v>
      </c>
      <c r="W7" s="49">
        <v>0</v>
      </c>
      <c r="X7" s="49">
        <v>0</v>
      </c>
      <c r="Y7" s="49">
        <v>0</v>
      </c>
      <c r="Z7" s="49">
        <v>0</v>
      </c>
      <c r="AA7" s="49">
        <v>0</v>
      </c>
      <c r="AB7" s="49">
        <v>0</v>
      </c>
      <c r="AC7" s="49">
        <v>0</v>
      </c>
      <c r="AD7" s="49">
        <v>0</v>
      </c>
      <c r="AH7" s="50" t="s">
        <v>35</v>
      </c>
      <c r="AI7" s="51" t="s">
        <v>36</v>
      </c>
    </row>
    <row r="8" spans="1:35" ht="19.5" customHeight="1" x14ac:dyDescent="0.25">
      <c r="A8" s="75" t="s">
        <v>30</v>
      </c>
      <c r="AE8" s="49">
        <v>1</v>
      </c>
      <c r="AF8" s="49">
        <v>0</v>
      </c>
      <c r="AG8" s="49">
        <v>1</v>
      </c>
      <c r="AH8" s="50" t="s">
        <v>30</v>
      </c>
      <c r="AI8" s="51" t="s">
        <v>119</v>
      </c>
    </row>
    <row r="10" spans="1:35" ht="25.5" customHeight="1" x14ac:dyDescent="0.25">
      <c r="A10" s="80" t="s">
        <v>32</v>
      </c>
      <c r="B10" s="80"/>
      <c r="C10" s="80"/>
      <c r="D10" s="9">
        <f>B3*2147483648+C3*1073741824+D3*536870912+E3*268435456+F3*134217728+G3*67108864+H3*33554432+I3*16777216+J4*8388608+K4*4194304+L5*2097152+M5*1048576+N5*524288+O6*262144+P6*131072+Q6*65536+R7*32768+S7*16384+T7*8192+U7*4096+V7*2048+W7*1024+X7*512+Y7*256+Z7*128+AA7*64+AB7*32+AC7*16+AD7*8+AE8*4+AF8*2+AG8*1</f>
        <v>4587525</v>
      </c>
      <c r="E10" s="9"/>
      <c r="F10" s="9"/>
      <c r="G10" s="9"/>
      <c r="H10" s="9"/>
      <c r="I10" s="9"/>
      <c r="J10" s="9"/>
      <c r="K10" s="9"/>
      <c r="L10" s="9"/>
      <c r="M10" s="9"/>
      <c r="N10" s="80" t="s">
        <v>120</v>
      </c>
      <c r="O10" s="80"/>
      <c r="P10" s="80"/>
      <c r="Q10" s="8" t="str">
        <f>"0x"&amp;DEC2HEX(D10,8)</f>
        <v>0x00460005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1:35" ht="13.5" customHeight="1" x14ac:dyDescent="0.25">
      <c r="A11" s="7" t="s">
        <v>33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</sheetData>
  <mergeCells count="6">
    <mergeCell ref="A11:AI11"/>
    <mergeCell ref="A1:AI1"/>
    <mergeCell ref="A10:C10"/>
    <mergeCell ref="D10:M10"/>
    <mergeCell ref="N10:P10"/>
    <mergeCell ref="Q10:AI10"/>
  </mergeCells>
  <dataValidations count="1">
    <dataValidation type="whole" showErrorMessage="1" errorTitle="Valor inválido" error="Solo se permite 0 o 1" sqref="J4:K4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R0</vt:lpstr>
      <vt:lpstr>R1</vt:lpstr>
      <vt:lpstr>R2</vt:lpstr>
      <vt:lpstr>R3</vt:lpstr>
      <vt:lpstr>R4</vt:lpstr>
      <vt:lpstr>R5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Mariano Campos</cp:lastModifiedBy>
  <cp:revision>0</cp:revision>
  <dcterms:created xsi:type="dcterms:W3CDTF">2026-03-22T21:52:59Z</dcterms:created>
  <dcterms:modified xsi:type="dcterms:W3CDTF">2026-03-22T21:57:55Z</dcterms:modified>
  <dc:language>en-US</dc:language>
</cp:coreProperties>
</file>